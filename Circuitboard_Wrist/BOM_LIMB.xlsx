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li_wcels9w\Downloads\"/>
    </mc:Choice>
  </mc:AlternateContent>
  <xr:revisionPtr revIDLastSave="0" documentId="13_ncr:1_{67F340B3-28DF-4364-95AA-9BED2F6CEBD5}" xr6:coauthVersionLast="47" xr6:coauthVersionMax="47" xr10:uidLastSave="{00000000-0000-0000-0000-000000000000}"/>
  <bookViews>
    <workbookView xWindow="-108" yWindow="-108" windowWidth="23256" windowHeight="12456" xr2:uid="{D0F97388-7544-493B-B09C-347D3CADC4A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79" i="1"/>
  <c r="F52" i="1"/>
  <c r="F62" i="1"/>
  <c r="F80" i="1" l="1"/>
</calcChain>
</file>

<file path=xl/sharedStrings.xml><?xml version="1.0" encoding="utf-8"?>
<sst xmlns="http://schemas.openxmlformats.org/spreadsheetml/2006/main" count="100" uniqueCount="71">
  <si>
    <t>Component</t>
  </si>
  <si>
    <t>Datasheet</t>
  </si>
  <si>
    <t>Purchase site</t>
  </si>
  <si>
    <t>Amount</t>
  </si>
  <si>
    <t>Cost/Unit (Kr)</t>
  </si>
  <si>
    <t>Electrokit</t>
  </si>
  <si>
    <t>ESP32-C3-Zero</t>
  </si>
  <si>
    <t>6DOF LSM6DSO32 IMU</t>
  </si>
  <si>
    <t>RS</t>
  </si>
  <si>
    <t>Stiftlist 2.54mm 1x40p brytbar</t>
  </si>
  <si>
    <t>Elektrokit</t>
  </si>
  <si>
    <t>Sub-Total</t>
  </si>
  <si>
    <t>RS-Components</t>
  </si>
  <si>
    <t>Cuff</t>
  </si>
  <si>
    <t>Connectivity Vibration Sensor</t>
  </si>
  <si>
    <t>HARLEY</t>
  </si>
  <si>
    <t>Kullager 10x15x4 (SKF 61700)</t>
  </si>
  <si>
    <t>https://www.kullagergrossisten.se/product/10x15x4-gummi-metalltat--avid</t>
  </si>
  <si>
    <t>Är inte helt hundra om jag inte kommer använda fler lager, så kanske ta 2 extra av varje? (de två första)</t>
  </si>
  <si>
    <t>Kullager 15x21x4 (SKF 61702)</t>
  </si>
  <si>
    <t>https://www.kullagergrossisten.se/product/15x21x4-gummitatat--abec-5-</t>
  </si>
  <si>
    <t>Kullager 45x58x7 (SKF 61809)</t>
  </si>
  <si>
    <t>https://www.remlagret.se/products/61809-2rs1-skf-kullager-45x58x7</t>
  </si>
  <si>
    <t>Ruthex M3x5.7 Brass Inserts</t>
  </si>
  <si>
    <t xml:space="preserve">Example </t>
  </si>
  <si>
    <t>Ruthex M5x9.5 Brass Inserts</t>
  </si>
  <si>
    <t>Example</t>
  </si>
  <si>
    <t>SHCS (ISO 4762) M3x20</t>
  </si>
  <si>
    <t>Antal skruvar är ej klart. Detta är endast just nu</t>
  </si>
  <si>
    <t>SCHS M3x20 (Ex DIN 7991)</t>
  </si>
  <si>
    <t>SCHS M3x16 (Ex DIN 7991)</t>
  </si>
  <si>
    <t>SHCS (ISO 4762) M10x90</t>
  </si>
  <si>
    <t>Hex nut (ISO 4034) M10</t>
  </si>
  <si>
    <t>TR8x8 Lead Screw (Bicep)</t>
  </si>
  <si>
    <t>Flanged Round Nut For Lead Screw</t>
  </si>
  <si>
    <t>Lead Screw, 10mm</t>
  </si>
  <si>
    <t>Kullager 30x42x7 (SKF 61806)</t>
  </si>
  <si>
    <t>Total</t>
  </si>
  <si>
    <t>skruvar https://rostfriskruv.se/kassa/?cart=800315:1,800607:15,800608:150,800536:8,800940:2</t>
  </si>
  <si>
    <t>6700-2RS-AVI 10st https://www.kullagergrossisten.se/product/10x15x4-gummi-metalltat--avid</t>
  </si>
  <si>
    <t>6702-2RS 8st https://www.kullagergrossisten.se/product/15x21x4-gummitatat--abec-5-</t>
  </si>
  <si>
    <t>61809-2RS1 SKF Kullager 45x58x7 2st https://www.remlagret.se/products/61809-2rs1-skf-kullager-45x58x7</t>
  </si>
  <si>
    <t xml:space="preserve"> </t>
  </si>
  <si>
    <t>Art.Nr</t>
  </si>
  <si>
    <t>SENSOR CABLE - ELECTRODE PADS</t>
  </si>
  <si>
    <t>Digikey</t>
  </si>
  <si>
    <t>1568-12970-ND</t>
  </si>
  <si>
    <t>661-0732</t>
  </si>
  <si>
    <t>OPA2333AID</t>
  </si>
  <si>
    <t>660-9773</t>
  </si>
  <si>
    <t>OPA333AID</t>
  </si>
  <si>
    <t>OPA350UA</t>
  </si>
  <si>
    <t>461-8790</t>
  </si>
  <si>
    <t>252-0692</t>
  </si>
  <si>
    <t>LP2992AIM5-1.5/NOPB</t>
  </si>
  <si>
    <t>177-352</t>
  </si>
  <si>
    <t>BOURNS 10 kΩ</t>
  </si>
  <si>
    <t>AD623ARZ</t>
  </si>
  <si>
    <t>100 kΩ</t>
  </si>
  <si>
    <t>10 kΩ</t>
  </si>
  <si>
    <t>197-8039</t>
  </si>
  <si>
    <t>20 kΩ</t>
  </si>
  <si>
    <t>199-5443P</t>
  </si>
  <si>
    <t>197-8010</t>
  </si>
  <si>
    <t>8.2 nF</t>
  </si>
  <si>
    <t>915-5736</t>
  </si>
  <si>
    <t>1 mΩ</t>
  </si>
  <si>
    <t>199-5481</t>
  </si>
  <si>
    <t>47 kΩ</t>
  </si>
  <si>
    <t>901-3620</t>
  </si>
  <si>
    <t>35.56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</si>
</sst>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3F3F76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373737"/>
      <name val="Niveau-Grotesk"/>
      <family val="2"/>
      <charset val="1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theme="5"/>
      </patternFill>
    </fill>
  </fills>
  <borders count="1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 style="double">
        <color rgb="FF3F3F3F"/>
      </right>
      <top style="double">
        <color rgb="FF3F3F3F"/>
      </top>
      <bottom style="thin">
        <color indexed="64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  <xf numFmtId="0" fontId="5" fillId="5" borderId="9" applyNumberFormat="0" applyAlignment="0" applyProtection="0"/>
    <xf numFmtId="0" fontId="6" fillId="6" borderId="0" applyNumberFormat="0" applyBorder="0" applyAlignment="0" applyProtection="0"/>
    <xf numFmtId="0" fontId="4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3" xfId="0" applyBorder="1"/>
    <xf numFmtId="0" fontId="2" fillId="3" borderId="1" xfId="2" applyAlignment="1">
      <alignment horizontal="center"/>
    </xf>
    <xf numFmtId="0" fontId="2" fillId="3" borderId="1" xfId="2" applyAlignment="1">
      <alignment horizontal="center" vertical="center"/>
    </xf>
    <xf numFmtId="0" fontId="4" fillId="0" borderId="3" xfId="6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3" borderId="8" xfId="2" applyBorder="1" applyAlignment="1">
      <alignment horizontal="center"/>
    </xf>
    <xf numFmtId="0" fontId="7" fillId="5" borderId="3" xfId="4" applyFont="1" applyBorder="1" applyAlignment="1">
      <alignment horizontal="center"/>
    </xf>
    <xf numFmtId="0" fontId="2" fillId="3" borderId="10" xfId="2" applyBorder="1" applyAlignment="1">
      <alignment horizontal="center"/>
    </xf>
    <xf numFmtId="0" fontId="2" fillId="3" borderId="3" xfId="2" applyBorder="1" applyAlignment="1">
      <alignment horizontal="center"/>
    </xf>
    <xf numFmtId="0" fontId="6" fillId="6" borderId="5" xfId="5" applyBorder="1" applyAlignment="1">
      <alignment horizontal="center"/>
    </xf>
    <xf numFmtId="0" fontId="6" fillId="6" borderId="6" xfId="5" applyBorder="1" applyAlignment="1">
      <alignment horizontal="center"/>
    </xf>
    <xf numFmtId="0" fontId="6" fillId="6" borderId="7" xfId="5" applyBorder="1" applyAlignment="1">
      <alignment horizontal="center"/>
    </xf>
    <xf numFmtId="0" fontId="1" fillId="2" borderId="5" xfId="1" applyBorder="1" applyAlignment="1">
      <alignment horizontal="center"/>
    </xf>
    <xf numFmtId="0" fontId="1" fillId="2" borderId="6" xfId="1" applyBorder="1" applyAlignment="1">
      <alignment horizontal="center"/>
    </xf>
    <xf numFmtId="0" fontId="1" fillId="2" borderId="7" xfId="1" applyBorder="1" applyAlignment="1">
      <alignment horizontal="center"/>
    </xf>
    <xf numFmtId="0" fontId="2" fillId="3" borderId="11" xfId="2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4" fillId="0" borderId="3" xfId="6" applyBorder="1" applyAlignment="1">
      <alignment horizontal="center" vertical="center"/>
    </xf>
    <xf numFmtId="0" fontId="1" fillId="2" borderId="12" xfId="1" applyBorder="1" applyAlignment="1">
      <alignment horizontal="center"/>
    </xf>
    <xf numFmtId="0" fontId="8" fillId="0" borderId="0" xfId="0" applyFont="1"/>
    <xf numFmtId="0" fontId="4" fillId="0" borderId="3" xfId="6" applyBorder="1"/>
    <xf numFmtId="0" fontId="4" fillId="0" borderId="0" xfId="6"/>
    <xf numFmtId="0" fontId="9" fillId="0" borderId="0" xfId="0" applyFont="1"/>
    <xf numFmtId="0" fontId="3" fillId="4" borderId="13" xfId="3" applyBorder="1" applyAlignment="1">
      <alignment horizontal="center"/>
    </xf>
    <xf numFmtId="0" fontId="3" fillId="4" borderId="14" xfId="3" applyBorder="1" applyAlignment="1">
      <alignment horizontal="center"/>
    </xf>
    <xf numFmtId="0" fontId="3" fillId="4" borderId="15" xfId="3" applyBorder="1" applyAlignment="1">
      <alignment horizontal="center"/>
    </xf>
    <xf numFmtId="0" fontId="3" fillId="4" borderId="4" xfId="3" applyBorder="1" applyAlignment="1">
      <alignment horizontal="center"/>
    </xf>
    <xf numFmtId="0" fontId="3" fillId="4" borderId="0" xfId="3" applyBorder="1" applyAlignment="1">
      <alignment horizontal="center"/>
    </xf>
    <xf numFmtId="0" fontId="1" fillId="2" borderId="5" xfId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1" fillId="2" borderId="7" xfId="1" applyBorder="1" applyAlignment="1">
      <alignment horizontal="center" vertical="center"/>
    </xf>
    <xf numFmtId="0" fontId="3" fillId="4" borderId="5" xfId="3" applyBorder="1" applyAlignment="1">
      <alignment horizontal="center"/>
    </xf>
    <xf numFmtId="0" fontId="3" fillId="4" borderId="6" xfId="3" applyBorder="1" applyAlignment="1">
      <alignment horizontal="center"/>
    </xf>
    <xf numFmtId="0" fontId="3" fillId="4" borderId="7" xfId="3" applyBorder="1" applyAlignment="1">
      <alignment horizontal="center"/>
    </xf>
    <xf numFmtId="0" fontId="1" fillId="2" borderId="5" xfId="1" applyBorder="1" applyAlignment="1">
      <alignment horizontal="center"/>
    </xf>
    <xf numFmtId="0" fontId="1" fillId="2" borderId="6" xfId="1" applyBorder="1" applyAlignment="1">
      <alignment horizontal="center"/>
    </xf>
    <xf numFmtId="0" fontId="1" fillId="2" borderId="7" xfId="1" applyBorder="1" applyAlignment="1">
      <alignment horizontal="center"/>
    </xf>
    <xf numFmtId="0" fontId="4" fillId="0" borderId="5" xfId="6" applyBorder="1" applyAlignment="1">
      <alignment horizont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/>
    </xf>
    <xf numFmtId="0" fontId="10" fillId="0" borderId="5" xfId="6" applyFont="1" applyBorder="1" applyAlignment="1">
      <alignment horizontal="center" vertical="center"/>
    </xf>
    <xf numFmtId="0" fontId="0" fillId="0" borderId="3" xfId="0" applyBorder="1" applyAlignment="1">
      <alignment wrapText="1"/>
    </xf>
    <xf numFmtId="3" fontId="10" fillId="0" borderId="5" xfId="6" applyNumberFormat="1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 wrapText="1"/>
    </xf>
  </cellXfs>
  <cellStyles count="7">
    <cellStyle name="Accent2" xfId="5" builtinId="33"/>
    <cellStyle name="Check Cell" xfId="3" builtinId="23"/>
    <cellStyle name="Hyperlink" xfId="6" builtinId="8"/>
    <cellStyle name="Input" xfId="4" builtinId="20"/>
    <cellStyle name="Neutral" xfId="1" builtinId="28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e.rs-online.com/web/p/lead-screws/8854987" TargetMode="External"/><Relationship Id="rId18" Type="http://schemas.openxmlformats.org/officeDocument/2006/relationships/hyperlink" Target="https://se.rs-online.com/web/p/operationsforstarkare/6610732?gb=a" TargetMode="External"/><Relationship Id="rId26" Type="http://schemas.openxmlformats.org/officeDocument/2006/relationships/hyperlink" Target="https://se.rs-online.com/web/p/spanningsregulatorer/2520692?gb=a" TargetMode="External"/><Relationship Id="rId3" Type="http://schemas.openxmlformats.org/officeDocument/2006/relationships/hyperlink" Target="https://www.electrokit.com/rorelsegivare-6dof-lsm6dso32" TargetMode="External"/><Relationship Id="rId21" Type="http://schemas.openxmlformats.org/officeDocument/2006/relationships/hyperlink" Target="https://www.alldatasheet.com/datasheet-pdf/view/931738/TI1/OPA2333.html" TargetMode="External"/><Relationship Id="rId34" Type="http://schemas.openxmlformats.org/officeDocument/2006/relationships/hyperlink" Target="https://se.rs-online.com/web/p/ytmonterade-resistorer/1995481" TargetMode="External"/><Relationship Id="rId7" Type="http://schemas.openxmlformats.org/officeDocument/2006/relationships/hyperlink" Target="https://www.electrokit.com/stiftlist-2.54mm-1x40p-brytbar" TargetMode="External"/><Relationship Id="rId12" Type="http://schemas.openxmlformats.org/officeDocument/2006/relationships/hyperlink" Target="https://www.remlagret.se/products/61809-2rs1-skf-kullager-45x58x7" TargetMode="External"/><Relationship Id="rId17" Type="http://schemas.openxmlformats.org/officeDocument/2006/relationships/hyperlink" Target="https://mm.digikey.com/Volume0/opasdata/d220001/medias/docus/2277/CAB-12970_Web.pdf" TargetMode="External"/><Relationship Id="rId25" Type="http://schemas.openxmlformats.org/officeDocument/2006/relationships/hyperlink" Target="https://se.rs-online.com/web/p/trimpotentiometrar/0177352?gb=a" TargetMode="External"/><Relationship Id="rId33" Type="http://schemas.openxmlformats.org/officeDocument/2006/relationships/hyperlink" Target="https://se.rs-online.com/web/p/mlcc-keramiska-multilayerkondensatorer/9155736" TargetMode="External"/><Relationship Id="rId2" Type="http://schemas.openxmlformats.org/officeDocument/2006/relationships/hyperlink" Target="https://www.electrokit.com/upload/product/41017/41017943/lsm6dsox-and-ism330dhc-6-dof-imu.pdf" TargetMode="External"/><Relationship Id="rId16" Type="http://schemas.openxmlformats.org/officeDocument/2006/relationships/hyperlink" Target="https://www.digikey.se/sv/products/detail/sparkfun-electronics/12970/6833933?gclsrc=aw.ds&amp;gad_source=1&amp;gad_campaignid=19556943287&amp;gbraid=0AAAAADrbLlhO_Qcc6ZkoakAAnb26QOaiq&amp;gclid=CjwKCAjwuuPRBhAnEiwA2Ji8engSkKLWNZRLN5x_yAQCMkWJmMRfaNKXAbMNlXp2ForVKDrSTX3cFRoC7ZUQAvD_BwE" TargetMode="External"/><Relationship Id="rId20" Type="http://schemas.openxmlformats.org/officeDocument/2006/relationships/hyperlink" Target="https://se.rs-online.com/web/p/operationsforstarkare/4618790" TargetMode="External"/><Relationship Id="rId29" Type="http://schemas.openxmlformats.org/officeDocument/2006/relationships/hyperlink" Target="https://www.electrokit.com/upload/product/40350/40350623/AD623.pdf" TargetMode="External"/><Relationship Id="rId1" Type="http://schemas.openxmlformats.org/officeDocument/2006/relationships/hyperlink" Target="https://www.waveshare.com/wiki/ESP32-C3-Zero" TargetMode="External"/><Relationship Id="rId6" Type="http://schemas.openxmlformats.org/officeDocument/2006/relationships/hyperlink" Target="https://docs.rs-online.com/4380/0900766b8142cdd4.pdf" TargetMode="External"/><Relationship Id="rId11" Type="http://schemas.openxmlformats.org/officeDocument/2006/relationships/hyperlink" Target="https://www.3dprima.com/se/reservdelar-tillbehoer/oevriga/post-processing/ruthex-m5-threaded-insert-rx-m5x9-5-50-pcs_30181_12617" TargetMode="External"/><Relationship Id="rId24" Type="http://schemas.openxmlformats.org/officeDocument/2006/relationships/hyperlink" Target="https://www.electrokit.com/ad623arz-so-8-rro-instrumentation-amplifier" TargetMode="External"/><Relationship Id="rId32" Type="http://schemas.openxmlformats.org/officeDocument/2006/relationships/hyperlink" Target="https://se.rs-online.com/web/p/ytmonterade-resistorer/1978039" TargetMode="External"/><Relationship Id="rId5" Type="http://schemas.openxmlformats.org/officeDocument/2006/relationships/hyperlink" Target="https://se.rs-online.com/web/p/vibration-sensors/8937177?gb=s" TargetMode="External"/><Relationship Id="rId15" Type="http://schemas.openxmlformats.org/officeDocument/2006/relationships/hyperlink" Target="https://www.electrokit.com/lead-screw-tr88-metric-acme-lead-screw-281mm" TargetMode="External"/><Relationship Id="rId23" Type="http://schemas.openxmlformats.org/officeDocument/2006/relationships/hyperlink" Target="https://www.alldatasheet.com/datasheet-pdf/view/540178/TI1/OPA350UA.html" TargetMode="External"/><Relationship Id="rId28" Type="http://schemas.openxmlformats.org/officeDocument/2006/relationships/hyperlink" Target="https://docs.rs-online.com/a1d9/0900766b800302ec.pdf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www.3dprima.com/se/reservdelar-tillbehoer/oevriga/post-processing/ruthex-m3-threaded-insert-rx-m3x5-7-100-pcs_30175_12611" TargetMode="External"/><Relationship Id="rId19" Type="http://schemas.openxmlformats.org/officeDocument/2006/relationships/hyperlink" Target="https://se.rs-online.com/web/p/operationsforstarkare/6609773" TargetMode="External"/><Relationship Id="rId31" Type="http://schemas.openxmlformats.org/officeDocument/2006/relationships/hyperlink" Target="https://se.rs-online.com/web/p/ytmonterade-resistorer/1995443P" TargetMode="External"/><Relationship Id="rId4" Type="http://schemas.openxmlformats.org/officeDocument/2006/relationships/hyperlink" Target="https://www.electrokit.com/utvecklingskort-esp32-c3" TargetMode="External"/><Relationship Id="rId9" Type="http://schemas.openxmlformats.org/officeDocument/2006/relationships/hyperlink" Target="https://www.kullagergrossisten.se/product/15x21x4-gummitatat--abec-5-" TargetMode="External"/><Relationship Id="rId14" Type="http://schemas.openxmlformats.org/officeDocument/2006/relationships/hyperlink" Target="https://se.rs-online.com/web/p/lead-screw-nuts/8854827" TargetMode="External"/><Relationship Id="rId22" Type="http://schemas.openxmlformats.org/officeDocument/2006/relationships/hyperlink" Target="https://www.waveshare.com/wiki/ESP32-C3-Zero" TargetMode="External"/><Relationship Id="rId27" Type="http://schemas.openxmlformats.org/officeDocument/2006/relationships/hyperlink" Target="https://www.ti.com/lit/ds/symlink/lp2992.pdf?ts=1782653266192" TargetMode="External"/><Relationship Id="rId30" Type="http://schemas.openxmlformats.org/officeDocument/2006/relationships/hyperlink" Target="https://se.rs-online.com/web/p/ytmonterade-resistorer/1978010" TargetMode="External"/><Relationship Id="rId35" Type="http://schemas.openxmlformats.org/officeDocument/2006/relationships/hyperlink" Target="https://se.rs-online.com/web/p/ytmonterade-resistorer/9013620" TargetMode="External"/><Relationship Id="rId8" Type="http://schemas.openxmlformats.org/officeDocument/2006/relationships/hyperlink" Target="https://www.kullagergrossisten.se/product/10x15x4-gummi-metalltat--av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97CE-E617-4D50-AFD1-A7FBE5E9BB58}">
  <dimension ref="A1:H89"/>
  <sheetViews>
    <sheetView tabSelected="1" workbookViewId="0">
      <selection activeCell="H19" sqref="H19"/>
    </sheetView>
  </sheetViews>
  <sheetFormatPr defaultRowHeight="14.4"/>
  <cols>
    <col min="1" max="1" width="28.88671875" bestFit="1" customWidth="1"/>
    <col min="2" max="2" width="15.33203125" customWidth="1"/>
    <col min="3" max="3" width="16.33203125" customWidth="1"/>
    <col min="4" max="4" width="13" customWidth="1"/>
    <col min="6" max="6" width="13.109375" customWidth="1"/>
    <col min="7" max="7" width="8.88671875" customWidth="1"/>
  </cols>
  <sheetData>
    <row r="1" spans="1:6">
      <c r="A1" s="2" t="s">
        <v>0</v>
      </c>
      <c r="B1" s="2" t="s">
        <v>1</v>
      </c>
      <c r="C1" s="3" t="s">
        <v>2</v>
      </c>
      <c r="D1" s="3" t="s">
        <v>43</v>
      </c>
      <c r="E1" s="9" t="s">
        <v>3</v>
      </c>
      <c r="F1" s="10" t="s">
        <v>4</v>
      </c>
    </row>
    <row r="2" spans="1:6">
      <c r="A2" s="28"/>
      <c r="B2" s="29"/>
      <c r="C2" s="29"/>
      <c r="D2" s="29"/>
      <c r="E2" s="29"/>
      <c r="F2" s="29"/>
    </row>
    <row r="3" spans="1:6">
      <c r="A3" s="1" t="s">
        <v>48</v>
      </c>
      <c r="B3" s="4" t="s">
        <v>1</v>
      </c>
      <c r="C3" s="19" t="s">
        <v>8</v>
      </c>
      <c r="D3" s="42" t="s">
        <v>47</v>
      </c>
      <c r="E3" s="6">
        <v>25</v>
      </c>
      <c r="F3" s="5">
        <v>49</v>
      </c>
    </row>
    <row r="4" spans="1:6">
      <c r="A4" s="1" t="s">
        <v>50</v>
      </c>
      <c r="B4" s="4" t="s">
        <v>1</v>
      </c>
      <c r="C4" s="19" t="s">
        <v>8</v>
      </c>
      <c r="D4" s="42" t="s">
        <v>49</v>
      </c>
      <c r="E4" s="6">
        <v>15</v>
      </c>
      <c r="F4" s="5">
        <v>35.56</v>
      </c>
    </row>
    <row r="5" spans="1:6">
      <c r="A5" s="1" t="s">
        <v>51</v>
      </c>
      <c r="B5" s="4" t="s">
        <v>1</v>
      </c>
      <c r="C5" s="19" t="s">
        <v>8</v>
      </c>
      <c r="D5" s="42" t="s">
        <v>52</v>
      </c>
      <c r="E5" s="6">
        <v>15</v>
      </c>
      <c r="F5" s="5">
        <v>64.540000000000006</v>
      </c>
    </row>
    <row r="6" spans="1:6">
      <c r="A6" s="43" t="s">
        <v>54</v>
      </c>
      <c r="B6" s="4" t="s">
        <v>1</v>
      </c>
      <c r="C6" s="19" t="s">
        <v>8</v>
      </c>
      <c r="D6" s="42" t="s">
        <v>53</v>
      </c>
      <c r="E6" s="6">
        <v>3</v>
      </c>
      <c r="F6" s="5">
        <v>336</v>
      </c>
    </row>
    <row r="7" spans="1:6">
      <c r="A7" s="1" t="s">
        <v>56</v>
      </c>
      <c r="B7" s="4" t="s">
        <v>1</v>
      </c>
      <c r="C7" s="19" t="s">
        <v>8</v>
      </c>
      <c r="D7" s="42" t="s">
        <v>55</v>
      </c>
      <c r="E7" s="6">
        <v>3</v>
      </c>
      <c r="F7" s="5">
        <v>99.1</v>
      </c>
    </row>
    <row r="8" spans="1:6">
      <c r="A8" s="1" t="s">
        <v>58</v>
      </c>
      <c r="B8" s="4"/>
      <c r="C8" s="19" t="s">
        <v>8</v>
      </c>
      <c r="D8" s="45" t="s">
        <v>63</v>
      </c>
      <c r="E8" s="6">
        <v>1</v>
      </c>
      <c r="F8" s="5">
        <v>52</v>
      </c>
    </row>
    <row r="9" spans="1:6" ht="17.399999999999999" customHeight="1">
      <c r="A9" s="1" t="s">
        <v>59</v>
      </c>
      <c r="B9" s="4"/>
      <c r="C9" s="19" t="s">
        <v>8</v>
      </c>
      <c r="D9" s="45" t="s">
        <v>62</v>
      </c>
      <c r="E9" s="6">
        <v>1</v>
      </c>
      <c r="F9" s="5">
        <v>98</v>
      </c>
    </row>
    <row r="10" spans="1:6" ht="17.399999999999999" customHeight="1">
      <c r="A10" s="1" t="s">
        <v>61</v>
      </c>
      <c r="B10" s="4"/>
      <c r="C10" s="19" t="s">
        <v>8</v>
      </c>
      <c r="D10" s="45" t="s">
        <v>60</v>
      </c>
      <c r="E10" s="6">
        <v>1</v>
      </c>
      <c r="F10" s="5">
        <v>42</v>
      </c>
    </row>
    <row r="11" spans="1:6" ht="17.399999999999999" customHeight="1">
      <c r="A11" s="1" t="s">
        <v>66</v>
      </c>
      <c r="B11" s="4"/>
      <c r="C11" s="19" t="s">
        <v>8</v>
      </c>
      <c r="D11" s="45" t="s">
        <v>67</v>
      </c>
      <c r="E11" s="6">
        <v>1</v>
      </c>
      <c r="F11" s="5">
        <v>10.4</v>
      </c>
    </row>
    <row r="12" spans="1:6" ht="17.399999999999999" customHeight="1">
      <c r="A12" s="1" t="s">
        <v>68</v>
      </c>
      <c r="B12" s="4"/>
      <c r="C12" s="19" t="s">
        <v>8</v>
      </c>
      <c r="D12" s="45" t="s">
        <v>69</v>
      </c>
      <c r="E12" s="6">
        <v>1</v>
      </c>
      <c r="F12" s="5">
        <v>7.4</v>
      </c>
    </row>
    <row r="13" spans="1:6" ht="17.399999999999999" customHeight="1">
      <c r="A13" s="1" t="s">
        <v>64</v>
      </c>
      <c r="B13" s="4"/>
      <c r="C13" s="19" t="s">
        <v>8</v>
      </c>
      <c r="D13" s="45" t="s">
        <v>65</v>
      </c>
      <c r="E13" s="6">
        <v>1</v>
      </c>
      <c r="F13" s="5">
        <v>66.400000000000006</v>
      </c>
    </row>
    <row r="14" spans="1:6" ht="17.399999999999999" customHeight="1">
      <c r="A14" s="1" t="s">
        <v>9</v>
      </c>
      <c r="B14" s="18"/>
      <c r="C14" s="19" t="s">
        <v>5</v>
      </c>
      <c r="D14" s="40">
        <v>41001167</v>
      </c>
      <c r="E14" s="5">
        <v>3</v>
      </c>
      <c r="F14" s="5">
        <v>9.5</v>
      </c>
    </row>
    <row r="15" spans="1:6">
      <c r="A15" s="1" t="s">
        <v>57</v>
      </c>
      <c r="B15" s="4" t="s">
        <v>1</v>
      </c>
      <c r="C15" s="19" t="s">
        <v>5</v>
      </c>
      <c r="D15" s="44">
        <v>40350623</v>
      </c>
      <c r="E15" s="6">
        <v>15</v>
      </c>
      <c r="F15" s="5">
        <v>43.2</v>
      </c>
    </row>
    <row r="16" spans="1:6">
      <c r="A16" s="1" t="s">
        <v>6</v>
      </c>
      <c r="B16" s="4" t="s">
        <v>1</v>
      </c>
      <c r="C16" s="4" t="s">
        <v>10</v>
      </c>
      <c r="D16" s="41">
        <v>41022524</v>
      </c>
      <c r="E16" s="6">
        <v>7</v>
      </c>
      <c r="F16" s="5">
        <v>79</v>
      </c>
    </row>
    <row r="17" spans="1:6">
      <c r="A17" s="1" t="s">
        <v>7</v>
      </c>
      <c r="B17" s="4" t="s">
        <v>1</v>
      </c>
      <c r="C17" s="4" t="s">
        <v>10</v>
      </c>
      <c r="D17" s="41">
        <v>41017943</v>
      </c>
      <c r="E17" s="6">
        <v>11</v>
      </c>
      <c r="F17" s="5">
        <v>199</v>
      </c>
    </row>
    <row r="18" spans="1:6">
      <c r="A18" s="1" t="s">
        <v>44</v>
      </c>
      <c r="B18" s="4" t="s">
        <v>1</v>
      </c>
      <c r="C18" s="4" t="s">
        <v>45</v>
      </c>
      <c r="D18" s="18" t="s">
        <v>46</v>
      </c>
      <c r="E18" s="5">
        <v>11</v>
      </c>
      <c r="F18" s="5">
        <v>111.58</v>
      </c>
    </row>
    <row r="19" spans="1:6">
      <c r="A19" s="1"/>
      <c r="B19" s="18"/>
      <c r="C19" s="18"/>
      <c r="D19" s="18"/>
      <c r="E19" s="5"/>
      <c r="F19" s="5"/>
    </row>
    <row r="20" spans="1:6">
      <c r="A20" s="36" t="s">
        <v>11</v>
      </c>
      <c r="B20" s="37"/>
      <c r="C20" s="37"/>
      <c r="D20" s="37"/>
      <c r="E20" s="38"/>
      <c r="F20" s="17">
        <f>SUM(E3*F3+E4*F4+E5*F5+E6*F6+E7*F7+E8*F8+E9*F9+E10*F10+E11*F11+E12*F12+E13*F13+E14*F14+E15*F15+E16*F16+E17*F17+E18*F18)</f>
        <v>8953.8799999999992</v>
      </c>
    </row>
    <row r="52" spans="1:8">
      <c r="A52" s="30" t="s">
        <v>11</v>
      </c>
      <c r="B52" s="31"/>
      <c r="C52" s="31"/>
      <c r="D52" s="31"/>
      <c r="E52" s="32"/>
      <c r="F52" s="2" t="e">
        <f>SUM(#REF!*#REF!+#REF!*#REF!+#REF!*#REF!+#REF!*#REF!+#REF!*#REF!+#REF!*#REF!+#REF!*#REF!+#REF!*#REF!)</f>
        <v>#REF!</v>
      </c>
    </row>
    <row r="53" spans="1:8">
      <c r="A53" s="33" t="s">
        <v>13</v>
      </c>
      <c r="B53" s="34"/>
      <c r="C53" s="34"/>
      <c r="D53" s="34"/>
      <c r="E53" s="34"/>
      <c r="F53" s="35"/>
    </row>
    <row r="56" spans="1:8">
      <c r="A56" s="1" t="s">
        <v>14</v>
      </c>
      <c r="B56" s="4" t="s">
        <v>1</v>
      </c>
      <c r="C56" s="4" t="s">
        <v>8</v>
      </c>
      <c r="D56" s="39"/>
      <c r="E56" s="6">
        <v>1</v>
      </c>
      <c r="F56" s="5">
        <v>121.7</v>
      </c>
    </row>
    <row r="57" spans="1:8">
      <c r="A57" s="1"/>
      <c r="B57" s="5"/>
      <c r="C57" s="5"/>
      <c r="D57" s="6"/>
      <c r="E57" s="6"/>
      <c r="F57" s="5"/>
    </row>
    <row r="58" spans="1:8">
      <c r="A58" s="1"/>
      <c r="B58" s="5"/>
      <c r="C58" s="5"/>
      <c r="D58" s="6"/>
      <c r="E58" s="6"/>
      <c r="F58" s="5"/>
    </row>
    <row r="59" spans="1:8">
      <c r="A59" s="1"/>
      <c r="B59" s="5"/>
      <c r="C59" s="5"/>
      <c r="D59" s="6"/>
      <c r="E59" s="6"/>
      <c r="F59" s="5"/>
    </row>
    <row r="60" spans="1:8">
      <c r="A60" s="1"/>
      <c r="B60" s="5"/>
      <c r="C60" s="5"/>
      <c r="D60" s="6"/>
      <c r="E60" s="6"/>
      <c r="F60" s="5"/>
    </row>
    <row r="61" spans="1:8">
      <c r="A61" s="1"/>
      <c r="B61" s="1"/>
      <c r="C61" s="1"/>
      <c r="D61" s="1"/>
      <c r="E61" s="1"/>
      <c r="F61" s="1"/>
    </row>
    <row r="62" spans="1:8" ht="15" thickBot="1">
      <c r="A62" s="14" t="s">
        <v>11</v>
      </c>
      <c r="B62" s="15"/>
      <c r="C62" s="15"/>
      <c r="D62" s="15"/>
      <c r="E62" s="16"/>
      <c r="F62" s="7">
        <f>SUM(F16*E16+F17*E17+F56*E56+F57*E57+F58*E58+F59*E59+F60*E60+F61*E61)</f>
        <v>2863.7</v>
      </c>
    </row>
    <row r="63" spans="1:8" ht="15" thickTop="1">
      <c r="A63" s="25" t="s">
        <v>15</v>
      </c>
      <c r="B63" s="26"/>
      <c r="C63" s="26"/>
      <c r="D63" s="26"/>
      <c r="E63" s="26"/>
      <c r="F63" s="27"/>
    </row>
    <row r="64" spans="1:8">
      <c r="A64" s="1" t="s">
        <v>16</v>
      </c>
      <c r="B64" s="1"/>
      <c r="C64" s="22" t="s">
        <v>17</v>
      </c>
      <c r="D64" s="22"/>
      <c r="E64" s="1">
        <v>8</v>
      </c>
      <c r="F64" s="1">
        <v>15</v>
      </c>
      <c r="H64" t="s">
        <v>18</v>
      </c>
    </row>
    <row r="65" spans="1:8">
      <c r="A65" s="21" t="s">
        <v>19</v>
      </c>
      <c r="B65" s="1"/>
      <c r="C65" s="22" t="s">
        <v>20</v>
      </c>
      <c r="D65" s="22"/>
      <c r="E65" s="1">
        <v>6</v>
      </c>
      <c r="F65" s="1">
        <v>19</v>
      </c>
    </row>
    <row r="66" spans="1:8">
      <c r="A66" s="21" t="s">
        <v>21</v>
      </c>
      <c r="B66" s="1"/>
      <c r="C66" s="22" t="s">
        <v>22</v>
      </c>
      <c r="D66" s="22"/>
      <c r="E66" s="1">
        <v>2</v>
      </c>
      <c r="F66" s="1"/>
    </row>
    <row r="67" spans="1:8">
      <c r="A67" s="1" t="s">
        <v>23</v>
      </c>
      <c r="B67" s="1"/>
      <c r="C67" s="23" t="s">
        <v>24</v>
      </c>
      <c r="D67" s="23"/>
      <c r="E67" s="1">
        <v>1</v>
      </c>
      <c r="F67" s="1">
        <v>99</v>
      </c>
    </row>
    <row r="68" spans="1:8">
      <c r="A68" s="21" t="s">
        <v>25</v>
      </c>
      <c r="B68" s="1"/>
      <c r="C68" s="22" t="s">
        <v>26</v>
      </c>
      <c r="D68" s="22"/>
      <c r="E68" s="1">
        <v>1</v>
      </c>
      <c r="F68" s="1">
        <v>109</v>
      </c>
    </row>
    <row r="69" spans="1:8">
      <c r="A69" s="1" t="s">
        <v>27</v>
      </c>
      <c r="B69" s="1"/>
      <c r="C69" s="22"/>
      <c r="D69" s="22"/>
      <c r="E69" s="1">
        <v>4</v>
      </c>
      <c r="F69" s="1"/>
      <c r="H69" t="s">
        <v>28</v>
      </c>
    </row>
    <row r="70" spans="1:8">
      <c r="A70" s="1" t="s">
        <v>29</v>
      </c>
      <c r="B70" s="1"/>
      <c r="C70" s="22"/>
      <c r="D70" s="22"/>
      <c r="E70" s="1">
        <v>72</v>
      </c>
      <c r="F70" s="1"/>
    </row>
    <row r="71" spans="1:8">
      <c r="A71" s="21" t="s">
        <v>30</v>
      </c>
      <c r="B71" s="1"/>
      <c r="C71" s="22"/>
      <c r="D71" s="22"/>
      <c r="E71" s="1">
        <v>7</v>
      </c>
      <c r="F71" s="1"/>
    </row>
    <row r="72" spans="1:8">
      <c r="A72" s="1" t="s">
        <v>31</v>
      </c>
      <c r="B72" s="1"/>
      <c r="C72" s="1"/>
      <c r="D72" s="1"/>
      <c r="E72" s="1">
        <v>1</v>
      </c>
      <c r="F72" s="1"/>
    </row>
    <row r="73" spans="1:8">
      <c r="A73" s="1" t="s">
        <v>32</v>
      </c>
      <c r="B73" s="1"/>
      <c r="C73" s="1"/>
      <c r="D73" s="1"/>
      <c r="E73" s="1">
        <v>1</v>
      </c>
      <c r="F73" s="1"/>
    </row>
    <row r="74" spans="1:8">
      <c r="A74" s="1" t="s">
        <v>33</v>
      </c>
      <c r="B74" s="1"/>
      <c r="C74" s="22" t="s">
        <v>5</v>
      </c>
      <c r="D74" s="22"/>
      <c r="E74" s="1">
        <v>1</v>
      </c>
      <c r="F74" s="1">
        <v>110</v>
      </c>
    </row>
    <row r="75" spans="1:8">
      <c r="A75" s="1" t="s">
        <v>34</v>
      </c>
      <c r="B75" s="1"/>
      <c r="C75" s="22" t="s">
        <v>12</v>
      </c>
      <c r="D75" s="22"/>
      <c r="E75" s="1">
        <v>1</v>
      </c>
      <c r="F75" s="1">
        <v>624.51</v>
      </c>
    </row>
    <row r="76" spans="1:8">
      <c r="A76" s="1" t="s">
        <v>35</v>
      </c>
      <c r="B76" s="1"/>
      <c r="C76" s="22" t="s">
        <v>12</v>
      </c>
      <c r="D76" s="22"/>
      <c r="E76" s="1">
        <v>1</v>
      </c>
      <c r="F76" s="1">
        <v>1016.29</v>
      </c>
    </row>
    <row r="77" spans="1:8">
      <c r="A77" s="1" t="s">
        <v>36</v>
      </c>
      <c r="B77" s="1"/>
      <c r="C77" s="1"/>
      <c r="D77" s="1"/>
      <c r="E77" s="1">
        <v>1</v>
      </c>
      <c r="F77" s="1"/>
    </row>
    <row r="78" spans="1:8">
      <c r="A78" s="1"/>
      <c r="B78" s="1"/>
      <c r="C78" s="1"/>
      <c r="D78" s="1"/>
      <c r="E78" s="1"/>
      <c r="F78" s="1"/>
    </row>
    <row r="79" spans="1:8">
      <c r="A79" s="20" t="s">
        <v>11</v>
      </c>
      <c r="B79" s="20"/>
      <c r="C79" s="20"/>
      <c r="D79" s="20"/>
      <c r="E79" s="20"/>
      <c r="F79" s="17">
        <f>SUM(E64*F64+E65*F65+E66*F66+E67*F67+E68*F68+E69*F69+E70*F70+E71*F71+E72*F72+E73*F73+E77*F77+E78*F78+E74*F74+E75*F75+E76*F76)</f>
        <v>2192.8000000000002</v>
      </c>
    </row>
    <row r="80" spans="1:8">
      <c r="A80" s="11" t="s">
        <v>37</v>
      </c>
      <c r="B80" s="12"/>
      <c r="C80" s="12"/>
      <c r="D80" s="12"/>
      <c r="E80" s="13"/>
      <c r="F80" s="8" t="e">
        <f>SUM(F62,F52,F20,F79)</f>
        <v>#REF!</v>
      </c>
    </row>
    <row r="86" spans="1:2">
      <c r="A86" t="s">
        <v>38</v>
      </c>
    </row>
    <row r="87" spans="1:2">
      <c r="A87" s="24" t="s">
        <v>39</v>
      </c>
    </row>
    <row r="88" spans="1:2">
      <c r="A88" t="s">
        <v>40</v>
      </c>
    </row>
    <row r="89" spans="1:2">
      <c r="A89" t="s">
        <v>41</v>
      </c>
      <c r="B89" t="s">
        <v>42</v>
      </c>
    </row>
  </sheetData>
  <mergeCells count="5">
    <mergeCell ref="A63:F63"/>
    <mergeCell ref="A2:F2"/>
    <mergeCell ref="A20:E20"/>
    <mergeCell ref="A52:E52"/>
    <mergeCell ref="A53:F53"/>
  </mergeCells>
  <hyperlinks>
    <hyperlink ref="B16" r:id="rId1" xr:uid="{AF38F5FE-68D5-4FD6-BF4F-8A0A3534D66D}"/>
    <hyperlink ref="B17" r:id="rId2" xr:uid="{A62B35A6-1933-4501-B7E9-C497FEF535DD}"/>
    <hyperlink ref="C17" r:id="rId3" xr:uid="{2865A878-80BB-458D-B5F8-F26A0AA67743}"/>
    <hyperlink ref="C16" r:id="rId4" xr:uid="{AE712ED1-331B-4B95-8BF6-1E81F585CF7C}"/>
    <hyperlink ref="C56" r:id="rId5" xr:uid="{32121F21-F6DB-4ACD-BA79-F942237431FB}"/>
    <hyperlink ref="B56" r:id="rId6" xr:uid="{477708BB-51B7-4DFF-9B30-9559206621BD}"/>
    <hyperlink ref="C14" r:id="rId7" xr:uid="{4DE24C51-E5DF-4603-BB1B-FE3238A0F8F9}"/>
    <hyperlink ref="C64" r:id="rId8" xr:uid="{849331E9-3B04-415B-8D6F-51B196BF211B}"/>
    <hyperlink ref="C65" r:id="rId9" xr:uid="{7AFCC1D0-1B8E-4C36-9177-E9CD95A444B3}"/>
    <hyperlink ref="C67" r:id="rId10" xr:uid="{A6D3FC8A-606F-4C4C-A568-DA6120F7DBAF}"/>
    <hyperlink ref="C68" r:id="rId11" xr:uid="{8845CB66-AC4F-4009-8C71-7AE62DCEBDE0}"/>
    <hyperlink ref="C66" r:id="rId12" xr:uid="{1CD3BA7A-09BB-4AD8-AB73-7A9C28BA44B0}"/>
    <hyperlink ref="C76" r:id="rId13" xr:uid="{0962CD9A-311D-4D87-814C-33EE23824A90}"/>
    <hyperlink ref="C75" r:id="rId14" xr:uid="{BAE5634E-199D-439E-BFC9-857C7CD96C02}"/>
    <hyperlink ref="C74" r:id="rId15" xr:uid="{7B9ACFFE-FBF6-499C-96D4-7C553F711242}"/>
    <hyperlink ref="C18" r:id="rId16" xr:uid="{5F76E698-8FC6-4CFD-9276-249FCCC93661}"/>
    <hyperlink ref="B18" r:id="rId17" xr:uid="{3A606630-25DF-4D3B-9D66-C7A04ED7128E}"/>
    <hyperlink ref="C3" r:id="rId18" xr:uid="{8E771CBA-C212-432B-93F5-BC6DD96903CE}"/>
    <hyperlink ref="C4" r:id="rId19" xr:uid="{030F8D40-C1C8-41AC-99D6-1779D52B1986}"/>
    <hyperlink ref="C5" r:id="rId20" xr:uid="{C9E1BC8B-A0B4-44B3-A4E7-6FADCDC94BD5}"/>
    <hyperlink ref="B3" r:id="rId21" xr:uid="{7491E429-E561-4E33-AC10-D375A7ABBFF7}"/>
    <hyperlink ref="B4" r:id="rId22" xr:uid="{B6BABE5C-2786-43B1-BA3E-EC8FB06ED5F5}"/>
    <hyperlink ref="B5" r:id="rId23" xr:uid="{5508EE1C-5661-4CE1-B65C-00E13F1CE787}"/>
    <hyperlink ref="C15" r:id="rId24" xr:uid="{C1D54464-F593-4108-976C-A69D19E3DACC}"/>
    <hyperlink ref="C7" r:id="rId25" xr:uid="{E58C47C7-C9B2-47E6-B8DF-85EB265C41A0}"/>
    <hyperlink ref="C6" r:id="rId26" xr:uid="{0C5319DA-78CC-4E35-8D02-D42FC78875F8}"/>
    <hyperlink ref="B6" r:id="rId27" xr:uid="{53C9DCBF-5037-4C93-85F2-B8E09B81DB50}"/>
    <hyperlink ref="B7" r:id="rId28" xr:uid="{C93D5E65-9494-4A47-AB3B-D3950975E79D}"/>
    <hyperlink ref="B15" r:id="rId29" xr:uid="{B31FE5B2-CC69-46AC-8C79-F75CCEC446C7}"/>
    <hyperlink ref="C8" r:id="rId30" xr:uid="{0B2C9F2F-8414-40BA-9A69-3FF92D7A4A0D}"/>
    <hyperlink ref="C9" r:id="rId31" xr:uid="{78ABB5BC-4E9E-431C-9BF9-B8D88A1CA356}"/>
    <hyperlink ref="C10" r:id="rId32" xr:uid="{977F30B3-B457-4EF9-9E72-FBEEF1299F47}"/>
    <hyperlink ref="C13" r:id="rId33" xr:uid="{E2AD89AE-0AFE-47FB-BAF2-781187AD0B77}"/>
    <hyperlink ref="C11" r:id="rId34" xr:uid="{BD688228-0B93-4C66-8F9B-53B87388FA02}"/>
    <hyperlink ref="C12" r:id="rId35" xr:uid="{19A0B0AD-A41B-4CDF-BC72-A2E68DBC79B8}"/>
  </hyperlinks>
  <pageMargins left="0.7" right="0.7" top="0.75" bottom="0.75" header="0.3" footer="0.3"/>
  <pageSetup paperSize="9" orientation="portrait" r:id="rId3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e6a34d-014b-42fd-bfcb-1b6ca4f9d33c" xsi:nil="true"/>
    <lcf76f155ced4ddcb4097134ff3c332f xmlns="752ae427-f843-4c65-8458-fbe7162647c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855E5F002B8A438B791DF0AED7290A" ma:contentTypeVersion="10" ma:contentTypeDescription="Skapa ett nytt dokument." ma:contentTypeScope="" ma:versionID="350419f31a3f0bbe3c9314e831167eda">
  <xsd:schema xmlns:xsd="http://www.w3.org/2001/XMLSchema" xmlns:xs="http://www.w3.org/2001/XMLSchema" xmlns:p="http://schemas.microsoft.com/office/2006/metadata/properties" xmlns:ns2="752ae427-f843-4c65-8458-fbe7162647c8" xmlns:ns3="a3e6a34d-014b-42fd-bfcb-1b6ca4f9d33c" targetNamespace="http://schemas.microsoft.com/office/2006/metadata/properties" ma:root="true" ma:fieldsID="ecf53d62b3aa098fde1e6e4d0c81bc27" ns2:_="" ns3:_="">
    <xsd:import namespace="752ae427-f843-4c65-8458-fbe7162647c8"/>
    <xsd:import namespace="a3e6a34d-014b-42fd-bfcb-1b6ca4f9d3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2ae427-f843-4c65-8458-fbe7162647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177cff1b-ffef-4472-9ddf-6eb847493f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6a34d-014b-42fd-bfcb-1b6ca4f9d33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b8ec724-ce54-497e-a531-f2cfd541bb1a}" ma:internalName="TaxCatchAll" ma:showField="CatchAllData" ma:web="a3e6a34d-014b-42fd-bfcb-1b6ca4f9d3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89A32F-8D4D-4C0D-9784-3DF1CD43D4A7}">
  <ds:schemaRefs>
    <ds:schemaRef ds:uri="http://schemas.microsoft.com/office/2006/metadata/properties"/>
    <ds:schemaRef ds:uri="http://schemas.microsoft.com/office/infopath/2007/PartnerControls"/>
    <ds:schemaRef ds:uri="e6296839-5762-43ad-aa58-bf3a768c42df"/>
  </ds:schemaRefs>
</ds:datastoreItem>
</file>

<file path=customXml/itemProps2.xml><?xml version="1.0" encoding="utf-8"?>
<ds:datastoreItem xmlns:ds="http://schemas.openxmlformats.org/officeDocument/2006/customXml" ds:itemID="{87D98ED3-E5B0-4CA3-9D70-857760313475}"/>
</file>

<file path=customXml/itemProps3.xml><?xml version="1.0" encoding="utf-8"?>
<ds:datastoreItem xmlns:ds="http://schemas.openxmlformats.org/officeDocument/2006/customXml" ds:itemID="{832DFF85-7972-41DB-8887-572EBA7D4D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Majid Azizi</dc:creator>
  <cp:keywords/>
  <dc:description/>
  <cp:lastModifiedBy>Mahlin Jansson</cp:lastModifiedBy>
  <cp:revision/>
  <dcterms:created xsi:type="dcterms:W3CDTF">2025-09-12T12:19:03Z</dcterms:created>
  <dcterms:modified xsi:type="dcterms:W3CDTF">2026-06-29T10:26:47Z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0x0101008F855E5F002B8A438B791DF0AED7290A</vt:lpwstr>
  </property>
</Properties>
</file>